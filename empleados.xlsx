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n\Documents\NOMINA\"/>
    </mc:Choice>
  </mc:AlternateContent>
  <xr:revisionPtr revIDLastSave="0" documentId="13_ncr:1_{B7A925D4-93C2-4070-A1CD-D61C4E6C1F6B}" xr6:coauthVersionLast="47" xr6:coauthVersionMax="47" xr10:uidLastSave="{00000000-0000-0000-0000-000000000000}"/>
  <bookViews>
    <workbookView xWindow="-120" yWindow="-120" windowWidth="29040" windowHeight="15840" xr2:uid="{DA975529-9E83-4FFA-BD35-5CA808A152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O9" i="1"/>
  <c r="C18" i="1"/>
  <c r="D18" i="1"/>
  <c r="F18" i="1"/>
  <c r="J18" i="1" s="1"/>
  <c r="O18" i="1"/>
  <c r="O3" i="1"/>
  <c r="O4" i="1"/>
  <c r="O5" i="1"/>
  <c r="O6" i="1"/>
  <c r="O7" i="1"/>
  <c r="O8" i="1"/>
  <c r="O10" i="1"/>
  <c r="O11" i="1"/>
  <c r="O12" i="1"/>
  <c r="O13" i="1"/>
  <c r="O14" i="1"/>
  <c r="O15" i="1"/>
  <c r="O16" i="1"/>
  <c r="O17" i="1"/>
  <c r="O19" i="1"/>
  <c r="O20" i="1"/>
  <c r="O21" i="1"/>
  <c r="O22" i="1"/>
  <c r="O2" i="1"/>
  <c r="D22" i="1" l="1"/>
  <c r="C22" i="1"/>
  <c r="D21" i="1"/>
  <c r="C21" i="1"/>
  <c r="D20" i="1"/>
  <c r="C20" i="1"/>
  <c r="D19" i="1"/>
  <c r="C19" i="1"/>
  <c r="F19" i="1" s="1"/>
  <c r="D17" i="1"/>
  <c r="C17" i="1"/>
  <c r="D16" i="1"/>
  <c r="C16" i="1"/>
  <c r="D15" i="1"/>
  <c r="C15" i="1"/>
  <c r="F15" i="1" s="1"/>
  <c r="D14" i="1"/>
  <c r="C14" i="1"/>
  <c r="F14" i="1" s="1"/>
  <c r="J13" i="1"/>
  <c r="D12" i="1"/>
  <c r="C12" i="1"/>
  <c r="F12" i="1" s="1"/>
  <c r="D11" i="1"/>
  <c r="C11" i="1"/>
  <c r="D10" i="1"/>
  <c r="C10" i="1"/>
  <c r="D9" i="1"/>
  <c r="C9" i="1"/>
  <c r="F9" i="1" s="1"/>
  <c r="D8" i="1"/>
  <c r="C8" i="1"/>
  <c r="F8" i="1" s="1"/>
  <c r="D7" i="1"/>
  <c r="C7" i="1"/>
  <c r="D6" i="1"/>
  <c r="C6" i="1"/>
  <c r="D5" i="1"/>
  <c r="C5" i="1"/>
  <c r="F5" i="1" s="1"/>
  <c r="D4" i="1"/>
  <c r="C4" i="1"/>
  <c r="F4" i="1" s="1"/>
  <c r="D3" i="1"/>
  <c r="C3" i="1"/>
  <c r="D2" i="1"/>
  <c r="C2" i="1"/>
  <c r="J15" i="1" l="1"/>
  <c r="J9" i="1"/>
  <c r="J19" i="1"/>
  <c r="J4" i="1"/>
  <c r="J8" i="1"/>
  <c r="F6" i="1"/>
  <c r="J6" i="1" s="1"/>
  <c r="F10" i="1"/>
  <c r="J10" i="1" s="1"/>
  <c r="J14" i="1"/>
  <c r="J12" i="1"/>
  <c r="F20" i="1"/>
  <c r="J20" i="1" s="1"/>
  <c r="F22" i="1"/>
  <c r="J22" i="1" s="1"/>
  <c r="F21" i="1"/>
  <c r="J21" i="1" s="1"/>
  <c r="F3" i="1"/>
  <c r="J3" i="1" s="1"/>
  <c r="F16" i="1"/>
  <c r="J16" i="1" s="1"/>
  <c r="F7" i="1"/>
  <c r="J7" i="1" s="1"/>
  <c r="F2" i="1"/>
  <c r="J2" i="1" s="1"/>
  <c r="J5" i="1"/>
  <c r="F11" i="1"/>
  <c r="J11" i="1" s="1"/>
  <c r="F17" i="1"/>
  <c r="J17" i="1" s="1"/>
</calcChain>
</file>

<file path=xl/sharedStrings.xml><?xml version="1.0" encoding="utf-8"?>
<sst xmlns="http://schemas.openxmlformats.org/spreadsheetml/2006/main" count="55" uniqueCount="53">
  <si>
    <t>CEDULA</t>
  </si>
  <si>
    <t>NOMBRE</t>
  </si>
  <si>
    <t>SALARIO</t>
  </si>
  <si>
    <t>AUX. TRANSPORTE</t>
  </si>
  <si>
    <t>RODAMIENTO</t>
  </si>
  <si>
    <t>SALUD Y PENSION</t>
  </si>
  <si>
    <t>BONO BANCO</t>
  </si>
  <si>
    <t>DESCUENTOS</t>
  </si>
  <si>
    <t>NOVEDADES BANCO</t>
  </si>
  <si>
    <t>TOTAL BANCOS</t>
  </si>
  <si>
    <t>COMISIONES EFECTIVO</t>
  </si>
  <si>
    <t>LLEGADAS TARDE</t>
  </si>
  <si>
    <t>TOTAL EFECTIVO</t>
  </si>
  <si>
    <t>ESCOBAR GALINDO OLGA PATRICIA</t>
  </si>
  <si>
    <t>20,000 COMPARTIR</t>
  </si>
  <si>
    <t>CASTAÑEDA SANCHEZ MAURICIO</t>
  </si>
  <si>
    <t>35,300 COOSERPARk+20,000 COMPARTIR+207,117 PRESTAMO+100,000 VALES</t>
  </si>
  <si>
    <t>CARDOZO REYES JUAN SEBASTIAN</t>
  </si>
  <si>
    <t>44,700 COOSERPARK+2 DIAS LCNR+20,000 COMPARTIR+150,000 VALES</t>
  </si>
  <si>
    <t>MONTAÑO DIAZ RAUL ANDRES</t>
  </si>
  <si>
    <t>25,100 COOSERPARK+20,000 COMPARTIR+300,000 VALES</t>
  </si>
  <si>
    <t>TRIVIÑO MOGOLLON FELIPE</t>
  </si>
  <si>
    <t>20,000 COMPARTIR+210,312 VALES</t>
  </si>
  <si>
    <t>CHAPARRO TORRES DANIEL</t>
  </si>
  <si>
    <t>20,000 COMPARTIR+2 DIAS VACACIONES</t>
  </si>
  <si>
    <t>JIMENEZ LOPEZ KAREN LISETH</t>
  </si>
  <si>
    <t>44,700 COOSERPARK+1 DIA LCR+20,000 COMPARTIR</t>
  </si>
  <si>
    <t xml:space="preserve">COLLAZOS VELANDIA JHOAN ESNEYDER </t>
  </si>
  <si>
    <t>35,300 COOSERPARK+VAC 11 AL 16+20,000 COMPARTIR+34,760 PLAN CELULAR+100,000 VALES</t>
  </si>
  <si>
    <t>TRIVIÑO RIOS JOSE JULIAN</t>
  </si>
  <si>
    <t>1 DIA LCNR+20,000 COMPARTIR+85,000 VALES</t>
  </si>
  <si>
    <t>CAMACHO ABRIL SANDRA MILENA</t>
  </si>
  <si>
    <t xml:space="preserve">INCP </t>
  </si>
  <si>
    <t>ALVAREZ ESCOBAR JUAN ESTEBAN</t>
  </si>
  <si>
    <t>DURAN BURGOS PEDRO SIDEL</t>
  </si>
  <si>
    <t>PINZON VILLARREAL LADY VANESSA</t>
  </si>
  <si>
    <t>20,000 COMPARTIR+378,474 PRESTAMOS</t>
  </si>
  <si>
    <t>ALVAREZ ESCOBAR NICOLAS ENRIQUE</t>
  </si>
  <si>
    <t>RAMIREZ VARGAS SANTIAGO ANDRES</t>
  </si>
  <si>
    <t>INCP+20,000 COMPARTIR</t>
  </si>
  <si>
    <t>SUAREZ ORTIZ DANNY ALEJANDRO</t>
  </si>
  <si>
    <t>MONTOYA DIAZ ENOC ALEXANDER</t>
  </si>
  <si>
    <t>20,000 COMPARTIR+150,000 PRESTAMO</t>
  </si>
  <si>
    <t>HERNANDEZ MONTAÑO DAVID ALEXANDER</t>
  </si>
  <si>
    <t>20,000 COMPARTIR+200,000 VALES</t>
  </si>
  <si>
    <t>TOVAR AREVALO JULIAN GIOVANNI</t>
  </si>
  <si>
    <t>HERRERA NINCO JUAN SEBASTIAN</t>
  </si>
  <si>
    <t>ING 4 MAYO+20,000 COMPARTIR</t>
  </si>
  <si>
    <t>DIONISIO NAVARRETE JOHAN ANDREY</t>
  </si>
  <si>
    <t>ING 13 MAYO +20,000 COMPARTIR</t>
  </si>
  <si>
    <t>NOVEDADES EFECTIVO</t>
  </si>
  <si>
    <t>DESCUENTOS EF</t>
  </si>
  <si>
    <t>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</si>
</sst>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 &quot;$&quot;\ * #,##0.00_ ;_ &quot;$&quot;\ * \-#,##0.00_ ;_ &quot;$&quot;\ * &quot;-&quot;??_ ;_ @_ "/>
    <numFmt numFmtId="166" formatCode="_ &quot;$&quot;\ * #,##0_ ;_ &quot;$&quot;\ * \-#,##0_ ;_ &quot;$&quot;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9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left" vertical="center" wrapText="1"/>
    </xf>
    <xf numFmtId="166" fontId="4" fillId="0" borderId="2" xfId="3" applyNumberFormat="1" applyFont="1" applyFill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66" fontId="4" fillId="0" borderId="1" xfId="2" applyNumberFormat="1" applyFont="1" applyFill="1" applyBorder="1" applyAlignment="1">
      <alignment horizontal="left" vertical="center" wrapText="1"/>
    </xf>
    <xf numFmtId="166" fontId="4" fillId="0" borderId="1" xfId="3" applyNumberFormat="1" applyFont="1" applyFill="1" applyBorder="1" applyAlignment="1">
      <alignment horizontal="left" vertical="center" wrapText="1"/>
    </xf>
    <xf numFmtId="0" fontId="5" fillId="0" borderId="3" xfId="4" applyFont="1" applyBorder="1" applyAlignment="1">
      <alignment horizontal="left" vertical="center" wrapText="1"/>
    </xf>
    <xf numFmtId="1" fontId="0" fillId="0" borderId="0" xfId="1" applyNumberFormat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left" vertical="center"/>
    </xf>
    <xf numFmtId="1" fontId="2" fillId="0" borderId="1" xfId="1" applyNumberFormat="1" applyFont="1" applyFill="1" applyBorder="1" applyAlignment="1">
      <alignment horizontal="center" vertical="center"/>
    </xf>
    <xf numFmtId="44" fontId="2" fillId="0" borderId="1" xfId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5">
    <cellStyle name="Moneda" xfId="1" builtinId="4"/>
    <cellStyle name="Moneda 2" xfId="2" xr:uid="{0605646B-B80A-4C57-B156-94B9E01436E0}"/>
    <cellStyle name="Moneda 3" xfId="3" xr:uid="{98C3700D-6BEC-4FA1-B713-C553F57461CF}"/>
    <cellStyle name="Normal" xfId="0" builtinId="0"/>
    <cellStyle name="Normal 2 2 2" xfId="4" xr:uid="{313DBE52-1F1C-482D-97AD-A9EF19D1DC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F044-EB2C-4A38-BF1B-A61CE6B829F6}">
  <dimension ref="A1:O23"/>
  <sheetViews>
    <sheetView tabSelected="1" workbookViewId="0">
      <selection activeCell="N8" sqref="N8"/>
    </sheetView>
  </sheetViews>
  <sheetFormatPr baseColWidth="10" defaultRowHeight="15" x14ac:dyDescent="0.25"/>
  <cols>
    <col min="1" max="1" width="14.140625" style="12" customWidth="1"/>
    <col min="2" max="2" width="38.140625" style="13" customWidth="1"/>
    <col min="3" max="3" width="11.85546875" style="14" bestFit="1" customWidth="1"/>
    <col min="4" max="4" width="16.28515625" style="14" bestFit="1" customWidth="1"/>
    <col min="5" max="5" width="12.85546875" style="14" bestFit="1" customWidth="1"/>
    <col min="6" max="6" width="16.140625" style="14" bestFit="1" customWidth="1"/>
    <col min="7" max="7" width="12.7109375" style="14" bestFit="1" customWidth="1"/>
    <col min="8" max="8" width="12.85546875" style="14" bestFit="1" customWidth="1"/>
    <col min="9" max="9" width="41.140625" style="15" bestFit="1" customWidth="1"/>
    <col min="10" max="10" width="13.85546875" style="14" bestFit="1" customWidth="1"/>
    <col min="11" max="11" width="20.7109375" style="14" bestFit="1" customWidth="1"/>
    <col min="12" max="12" width="15.42578125" style="14" bestFit="1" customWidth="1"/>
    <col min="13" max="13" width="13.28515625" style="1" bestFit="1" customWidth="1"/>
    <col min="14" max="14" width="19.85546875" style="1" bestFit="1" customWidth="1"/>
    <col min="15" max="15" width="13.85546875" style="1" bestFit="1" customWidth="1"/>
    <col min="16" max="16384" width="11.42578125" style="1"/>
  </cols>
  <sheetData>
    <row r="1" spans="1:15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9" t="s">
        <v>51</v>
      </c>
      <c r="N1" s="19" t="s">
        <v>50</v>
      </c>
      <c r="O1" s="19" t="s">
        <v>12</v>
      </c>
    </row>
    <row r="2" spans="1:15" x14ac:dyDescent="0.25">
      <c r="A2" s="2">
        <v>52114146</v>
      </c>
      <c r="B2" s="3" t="s">
        <v>13</v>
      </c>
      <c r="C2" s="4">
        <f>8000000/30*15</f>
        <v>4000000.0000000005</v>
      </c>
      <c r="D2" s="5">
        <f>200000/30*0</f>
        <v>0</v>
      </c>
      <c r="E2" s="6">
        <v>0</v>
      </c>
      <c r="F2" s="6">
        <f>(C2*4%)*2</f>
        <v>320000.00000000006</v>
      </c>
      <c r="G2" s="6">
        <v>0</v>
      </c>
      <c r="H2" s="6">
        <v>1020000</v>
      </c>
      <c r="I2" s="7" t="s">
        <v>14</v>
      </c>
      <c r="J2" s="6">
        <f>+C2+D2+E2-F2+G2-H2</f>
        <v>2660000.0000000005</v>
      </c>
      <c r="K2" s="6">
        <v>0</v>
      </c>
      <c r="L2" s="6">
        <v>0</v>
      </c>
      <c r="M2" s="20">
        <v>0</v>
      </c>
      <c r="N2" s="7"/>
      <c r="O2" s="20">
        <f>K2-L2-M2</f>
        <v>0</v>
      </c>
    </row>
    <row r="3" spans="1:15" ht="27" x14ac:dyDescent="0.25">
      <c r="A3" s="2">
        <v>94288721</v>
      </c>
      <c r="B3" s="3" t="s">
        <v>15</v>
      </c>
      <c r="C3" s="9">
        <f>1750905/30*15</f>
        <v>875452.5</v>
      </c>
      <c r="D3" s="10">
        <f>249095/30*15</f>
        <v>124547.49999999999</v>
      </c>
      <c r="E3" s="6">
        <v>0</v>
      </c>
      <c r="F3" s="6">
        <f t="shared" ref="F3:F22" si="0">(C3*4%)*2</f>
        <v>70036.2</v>
      </c>
      <c r="G3" s="6">
        <v>700000</v>
      </c>
      <c r="H3" s="6">
        <v>362417</v>
      </c>
      <c r="I3" s="7" t="s">
        <v>16</v>
      </c>
      <c r="J3" s="6">
        <f t="shared" ref="J3:J22" si="1">+C3+D3+E3-F3+G3-H3</f>
        <v>1267546.8</v>
      </c>
      <c r="K3" s="6">
        <v>0</v>
      </c>
      <c r="L3" s="6">
        <v>0</v>
      </c>
      <c r="M3" s="20">
        <v>0</v>
      </c>
      <c r="N3" s="7"/>
      <c r="O3" s="20">
        <f>K3-L3-M3</f>
        <v>0</v>
      </c>
    </row>
    <row r="4" spans="1:15" ht="27" x14ac:dyDescent="0.25">
      <c r="A4" s="2">
        <v>1001200622</v>
      </c>
      <c r="B4" s="3" t="s">
        <v>17</v>
      </c>
      <c r="C4" s="9">
        <f>1750905/30*13</f>
        <v>758725.5</v>
      </c>
      <c r="D4" s="10">
        <f>249095/30*13</f>
        <v>107941.16666666666</v>
      </c>
      <c r="E4" s="6">
        <v>0</v>
      </c>
      <c r="F4" s="6">
        <f t="shared" si="0"/>
        <v>60698.04</v>
      </c>
      <c r="G4" s="6">
        <v>600000</v>
      </c>
      <c r="H4" s="6">
        <v>214700</v>
      </c>
      <c r="I4" s="7" t="s">
        <v>18</v>
      </c>
      <c r="J4" s="6">
        <f t="shared" si="1"/>
        <v>1191268.6266666665</v>
      </c>
      <c r="K4" s="6">
        <v>0</v>
      </c>
      <c r="L4" s="6">
        <v>0</v>
      </c>
      <c r="M4" s="20">
        <v>0</v>
      </c>
      <c r="N4" s="7"/>
      <c r="O4" s="20">
        <f t="shared" ref="O4:O22" si="2">K4-L4-M4</f>
        <v>0</v>
      </c>
    </row>
    <row r="5" spans="1:15" ht="27" x14ac:dyDescent="0.25">
      <c r="A5" s="2">
        <v>1000362431</v>
      </c>
      <c r="B5" s="3" t="s">
        <v>19</v>
      </c>
      <c r="C5" s="9">
        <f t="shared" ref="C5:C11" si="3">1750905/30*15</f>
        <v>875452.5</v>
      </c>
      <c r="D5" s="10">
        <f t="shared" ref="D5:D6" si="4">249095/30*15</f>
        <v>124547.49999999999</v>
      </c>
      <c r="E5" s="6">
        <v>0</v>
      </c>
      <c r="F5" s="6">
        <f t="shared" si="0"/>
        <v>70036.2</v>
      </c>
      <c r="G5" s="6">
        <v>400000</v>
      </c>
      <c r="H5" s="6">
        <v>345100</v>
      </c>
      <c r="I5" s="7" t="s">
        <v>20</v>
      </c>
      <c r="J5" s="6">
        <f t="shared" si="1"/>
        <v>984863.8</v>
      </c>
      <c r="K5" s="6">
        <v>0</v>
      </c>
      <c r="L5" s="6">
        <v>0</v>
      </c>
      <c r="M5" s="20">
        <v>0</v>
      </c>
      <c r="N5" s="7"/>
      <c r="O5" s="20">
        <f t="shared" si="2"/>
        <v>0</v>
      </c>
    </row>
    <row r="6" spans="1:15" x14ac:dyDescent="0.25">
      <c r="A6" s="2">
        <v>1001045472</v>
      </c>
      <c r="B6" s="3" t="s">
        <v>21</v>
      </c>
      <c r="C6" s="9">
        <f t="shared" si="3"/>
        <v>875452.5</v>
      </c>
      <c r="D6" s="10">
        <f t="shared" si="4"/>
        <v>124547.49999999999</v>
      </c>
      <c r="E6" s="6">
        <v>0</v>
      </c>
      <c r="F6" s="6">
        <f t="shared" si="0"/>
        <v>70036.2</v>
      </c>
      <c r="G6" s="6">
        <v>700000</v>
      </c>
      <c r="H6" s="6">
        <v>230312</v>
      </c>
      <c r="I6" s="7" t="s">
        <v>22</v>
      </c>
      <c r="J6" s="6">
        <f t="shared" si="1"/>
        <v>1399651.8</v>
      </c>
      <c r="K6" s="6">
        <v>0</v>
      </c>
      <c r="L6" s="6">
        <v>0</v>
      </c>
      <c r="M6" s="20">
        <v>0</v>
      </c>
      <c r="N6" s="7" t="s">
        <v>52</v>
      </c>
      <c r="O6" s="20">
        <f t="shared" si="2"/>
        <v>0</v>
      </c>
    </row>
    <row r="7" spans="1:15" x14ac:dyDescent="0.25">
      <c r="A7" s="2">
        <v>80875830</v>
      </c>
      <c r="B7" s="3" t="s">
        <v>23</v>
      </c>
      <c r="C7" s="9">
        <f>1750905/30*13</f>
        <v>758725.5</v>
      </c>
      <c r="D7" s="10">
        <f>249095/30*13</f>
        <v>107941.16666666666</v>
      </c>
      <c r="E7" s="6">
        <v>0</v>
      </c>
      <c r="F7" s="6">
        <f t="shared" si="0"/>
        <v>60698.04</v>
      </c>
      <c r="G7" s="6">
        <v>700000</v>
      </c>
      <c r="H7" s="6">
        <v>20000</v>
      </c>
      <c r="I7" s="7" t="s">
        <v>24</v>
      </c>
      <c r="J7" s="6">
        <f t="shared" si="1"/>
        <v>1485968.6266666665</v>
      </c>
      <c r="K7" s="6">
        <v>0</v>
      </c>
      <c r="L7" s="6">
        <v>0</v>
      </c>
      <c r="M7" s="20">
        <v>0</v>
      </c>
      <c r="N7" s="7"/>
      <c r="O7" s="20">
        <f t="shared" si="2"/>
        <v>0</v>
      </c>
    </row>
    <row r="8" spans="1:15" ht="27" x14ac:dyDescent="0.25">
      <c r="A8" s="2">
        <v>1006116706</v>
      </c>
      <c r="B8" s="3" t="s">
        <v>25</v>
      </c>
      <c r="C8" s="9">
        <f t="shared" si="3"/>
        <v>875452.5</v>
      </c>
      <c r="D8" s="10">
        <f>249095/30*14</f>
        <v>116244.33333333333</v>
      </c>
      <c r="E8" s="6">
        <v>0</v>
      </c>
      <c r="F8" s="6">
        <f t="shared" si="0"/>
        <v>70036.2</v>
      </c>
      <c r="G8" s="6">
        <v>100000</v>
      </c>
      <c r="H8" s="6">
        <v>64700</v>
      </c>
      <c r="I8" s="7" t="s">
        <v>26</v>
      </c>
      <c r="J8" s="6">
        <f t="shared" si="1"/>
        <v>956960.63333333342</v>
      </c>
      <c r="K8" s="6">
        <v>0</v>
      </c>
      <c r="L8" s="6">
        <v>0</v>
      </c>
      <c r="M8" s="20">
        <v>0</v>
      </c>
      <c r="N8" s="7"/>
      <c r="O8" s="20">
        <f t="shared" si="2"/>
        <v>0</v>
      </c>
    </row>
    <row r="9" spans="1:15" ht="40.5" x14ac:dyDescent="0.25">
      <c r="A9" s="2">
        <v>1193092448</v>
      </c>
      <c r="B9" s="3" t="s">
        <v>27</v>
      </c>
      <c r="C9" s="9">
        <f>1750905/30*10</f>
        <v>583635</v>
      </c>
      <c r="D9" s="10">
        <f>249095/30*10</f>
        <v>83031.666666666657</v>
      </c>
      <c r="E9" s="6">
        <v>0</v>
      </c>
      <c r="F9" s="6">
        <f t="shared" si="0"/>
        <v>46690.8</v>
      </c>
      <c r="G9" s="6">
        <v>700000</v>
      </c>
      <c r="H9" s="6">
        <v>190060</v>
      </c>
      <c r="I9" s="7" t="s">
        <v>28</v>
      </c>
      <c r="J9" s="6">
        <f t="shared" si="1"/>
        <v>1129915.8666666667</v>
      </c>
      <c r="K9" s="6">
        <v>0</v>
      </c>
      <c r="L9" s="6">
        <v>0</v>
      </c>
      <c r="M9" s="20">
        <v>0</v>
      </c>
      <c r="N9" s="7"/>
      <c r="O9" s="20">
        <f>K9-L9-M9</f>
        <v>0</v>
      </c>
    </row>
    <row r="10" spans="1:15" x14ac:dyDescent="0.25">
      <c r="A10" s="2">
        <v>79910037</v>
      </c>
      <c r="B10" s="3" t="s">
        <v>29</v>
      </c>
      <c r="C10" s="9">
        <f>1750905/30*15</f>
        <v>875452.5</v>
      </c>
      <c r="D10" s="10">
        <f>249095/30*15</f>
        <v>124547.49999999999</v>
      </c>
      <c r="E10" s="6">
        <v>0</v>
      </c>
      <c r="F10" s="6">
        <f t="shared" si="0"/>
        <v>70036.2</v>
      </c>
      <c r="G10" s="6">
        <v>300000</v>
      </c>
      <c r="H10" s="6">
        <v>105000</v>
      </c>
      <c r="I10" s="7" t="s">
        <v>30</v>
      </c>
      <c r="J10" s="6">
        <f t="shared" si="1"/>
        <v>1124963.8</v>
      </c>
      <c r="K10" s="6">
        <v>0</v>
      </c>
      <c r="L10" s="6">
        <v>0</v>
      </c>
      <c r="M10" s="20">
        <v>0</v>
      </c>
      <c r="N10" s="7"/>
      <c r="O10" s="20">
        <f t="shared" si="2"/>
        <v>0</v>
      </c>
    </row>
    <row r="11" spans="1:15" x14ac:dyDescent="0.25">
      <c r="A11" s="2">
        <v>52767162</v>
      </c>
      <c r="B11" s="3" t="s">
        <v>31</v>
      </c>
      <c r="C11" s="9">
        <f t="shared" si="3"/>
        <v>875452.5</v>
      </c>
      <c r="D11" s="10">
        <f>249095/30*2</f>
        <v>16606.333333333332</v>
      </c>
      <c r="E11" s="6">
        <v>0</v>
      </c>
      <c r="F11" s="6">
        <f t="shared" si="0"/>
        <v>70036.2</v>
      </c>
      <c r="G11" s="6">
        <v>0</v>
      </c>
      <c r="H11" s="6"/>
      <c r="I11" s="7" t="s">
        <v>32</v>
      </c>
      <c r="J11" s="6">
        <f t="shared" si="1"/>
        <v>822022.63333333342</v>
      </c>
      <c r="K11" s="6">
        <v>0</v>
      </c>
      <c r="L11" s="6">
        <v>0</v>
      </c>
      <c r="M11" s="20">
        <v>0</v>
      </c>
      <c r="N11" s="7"/>
      <c r="O11" s="20">
        <f t="shared" si="2"/>
        <v>0</v>
      </c>
    </row>
    <row r="12" spans="1:15" x14ac:dyDescent="0.25">
      <c r="A12" s="2">
        <v>1000795016</v>
      </c>
      <c r="B12" s="3" t="s">
        <v>33</v>
      </c>
      <c r="C12" s="9">
        <f>+(2000000/30)*15</f>
        <v>1000000.0000000001</v>
      </c>
      <c r="D12" s="10">
        <f t="shared" ref="D12:D18" si="5">249095/30*15</f>
        <v>124547.49999999999</v>
      </c>
      <c r="E12" s="6">
        <v>0</v>
      </c>
      <c r="F12" s="6">
        <f t="shared" si="0"/>
        <v>80000.000000000015</v>
      </c>
      <c r="G12" s="6">
        <v>0</v>
      </c>
      <c r="H12" s="6">
        <v>249095</v>
      </c>
      <c r="I12" s="7"/>
      <c r="J12" s="6">
        <f t="shared" si="1"/>
        <v>795452.5</v>
      </c>
      <c r="K12" s="6">
        <v>0</v>
      </c>
      <c r="L12" s="6">
        <v>0</v>
      </c>
      <c r="M12" s="20">
        <v>0</v>
      </c>
      <c r="N12" s="7"/>
      <c r="O12" s="20">
        <f t="shared" si="2"/>
        <v>0</v>
      </c>
    </row>
    <row r="13" spans="1:15" x14ac:dyDescent="0.25">
      <c r="A13" s="2">
        <v>79593400</v>
      </c>
      <c r="B13" s="3" t="s">
        <v>34</v>
      </c>
      <c r="C13" s="9">
        <v>0</v>
      </c>
      <c r="D13" s="10">
        <v>0</v>
      </c>
      <c r="E13" s="6">
        <v>0</v>
      </c>
      <c r="F13" s="6">
        <f t="shared" si="0"/>
        <v>0</v>
      </c>
      <c r="G13" s="6">
        <v>2000000</v>
      </c>
      <c r="H13" s="6">
        <v>0</v>
      </c>
      <c r="I13" s="7"/>
      <c r="J13" s="6">
        <f t="shared" si="1"/>
        <v>2000000</v>
      </c>
      <c r="K13" s="6">
        <v>0</v>
      </c>
      <c r="L13" s="6">
        <v>0</v>
      </c>
      <c r="M13" s="20">
        <v>0</v>
      </c>
      <c r="N13" s="7"/>
      <c r="O13" s="20">
        <f t="shared" si="2"/>
        <v>0</v>
      </c>
    </row>
    <row r="14" spans="1:15" x14ac:dyDescent="0.25">
      <c r="A14" s="2">
        <v>1023029896</v>
      </c>
      <c r="B14" s="3" t="s">
        <v>35</v>
      </c>
      <c r="C14" s="9">
        <f>1750905/30*15</f>
        <v>875452.5</v>
      </c>
      <c r="D14" s="10">
        <f t="shared" si="5"/>
        <v>124547.49999999999</v>
      </c>
      <c r="E14" s="6">
        <v>0</v>
      </c>
      <c r="F14" s="6">
        <f t="shared" si="0"/>
        <v>70036.2</v>
      </c>
      <c r="G14" s="6">
        <v>100000</v>
      </c>
      <c r="H14" s="6">
        <v>398474</v>
      </c>
      <c r="I14" s="7" t="s">
        <v>36</v>
      </c>
      <c r="J14" s="6">
        <f t="shared" si="1"/>
        <v>631489.80000000005</v>
      </c>
      <c r="K14" s="6">
        <v>0</v>
      </c>
      <c r="L14" s="6">
        <v>0</v>
      </c>
      <c r="M14" s="20">
        <v>0</v>
      </c>
      <c r="N14" s="7"/>
      <c r="O14" s="20">
        <f t="shared" si="2"/>
        <v>0</v>
      </c>
    </row>
    <row r="15" spans="1:15" x14ac:dyDescent="0.25">
      <c r="A15" s="2">
        <v>1015473856</v>
      </c>
      <c r="B15" s="3" t="s">
        <v>37</v>
      </c>
      <c r="C15" s="9">
        <f>+((2200000/30)*15)</f>
        <v>1100000</v>
      </c>
      <c r="D15" s="10">
        <f t="shared" si="5"/>
        <v>124547.49999999999</v>
      </c>
      <c r="E15" s="6">
        <v>0</v>
      </c>
      <c r="F15" s="6">
        <f t="shared" si="0"/>
        <v>88000</v>
      </c>
      <c r="G15" s="6">
        <v>600000</v>
      </c>
      <c r="H15" s="6">
        <v>20000</v>
      </c>
      <c r="I15" s="7" t="s">
        <v>14</v>
      </c>
      <c r="J15" s="6">
        <f t="shared" si="1"/>
        <v>1716547.5</v>
      </c>
      <c r="K15" s="6">
        <v>0</v>
      </c>
      <c r="L15" s="6">
        <v>0</v>
      </c>
      <c r="M15" s="20">
        <v>0</v>
      </c>
      <c r="N15" s="7"/>
      <c r="O15" s="20">
        <f t="shared" si="2"/>
        <v>0</v>
      </c>
    </row>
    <row r="16" spans="1:15" x14ac:dyDescent="0.25">
      <c r="A16" s="2">
        <v>1026306646</v>
      </c>
      <c r="B16" s="3" t="s">
        <v>38</v>
      </c>
      <c r="C16" s="9">
        <f>1750905/30*15</f>
        <v>875452.5</v>
      </c>
      <c r="D16" s="10">
        <f>249095/30*0</f>
        <v>0</v>
      </c>
      <c r="E16" s="6">
        <v>0</v>
      </c>
      <c r="F16" s="6">
        <f t="shared" si="0"/>
        <v>70036.2</v>
      </c>
      <c r="G16" s="6">
        <v>0</v>
      </c>
      <c r="H16" s="6">
        <v>20000</v>
      </c>
      <c r="I16" s="7" t="s">
        <v>39</v>
      </c>
      <c r="J16" s="6">
        <f t="shared" si="1"/>
        <v>785416.3</v>
      </c>
      <c r="K16" s="6">
        <v>0</v>
      </c>
      <c r="L16" s="6">
        <v>0</v>
      </c>
      <c r="M16" s="20">
        <v>0</v>
      </c>
      <c r="N16" s="7"/>
      <c r="O16" s="20">
        <f t="shared" si="2"/>
        <v>0</v>
      </c>
    </row>
    <row r="17" spans="1:15" x14ac:dyDescent="0.25">
      <c r="A17" s="2">
        <v>1003533086</v>
      </c>
      <c r="B17" s="3" t="s">
        <v>40</v>
      </c>
      <c r="C17" s="9">
        <f>1750905/30*15</f>
        <v>875452.5</v>
      </c>
      <c r="D17" s="10">
        <f t="shared" si="5"/>
        <v>124547.49999999999</v>
      </c>
      <c r="E17" s="6">
        <v>0</v>
      </c>
      <c r="F17" s="6">
        <f t="shared" si="0"/>
        <v>70036.2</v>
      </c>
      <c r="G17" s="6">
        <v>0</v>
      </c>
      <c r="H17" s="6">
        <v>200000</v>
      </c>
      <c r="I17" s="7" t="s">
        <v>14</v>
      </c>
      <c r="J17" s="6">
        <f t="shared" si="1"/>
        <v>729963.8</v>
      </c>
      <c r="K17" s="6">
        <v>0</v>
      </c>
      <c r="L17" s="6">
        <v>0</v>
      </c>
      <c r="M17" s="20">
        <v>0</v>
      </c>
      <c r="N17" s="7"/>
      <c r="O17" s="20">
        <f t="shared" si="2"/>
        <v>0</v>
      </c>
    </row>
    <row r="18" spans="1:15" x14ac:dyDescent="0.25">
      <c r="A18" s="2">
        <v>1000808758</v>
      </c>
      <c r="B18" s="3" t="s">
        <v>41</v>
      </c>
      <c r="C18" s="9">
        <f t="shared" ref="C18" si="6">1750905/30*15</f>
        <v>875452.5</v>
      </c>
      <c r="D18" s="10">
        <f t="shared" si="5"/>
        <v>124547.49999999999</v>
      </c>
      <c r="E18" s="6">
        <v>0</v>
      </c>
      <c r="F18" s="6">
        <f t="shared" si="0"/>
        <v>70036.2</v>
      </c>
      <c r="G18" s="6">
        <v>0</v>
      </c>
      <c r="H18" s="6">
        <v>170000</v>
      </c>
      <c r="I18" s="7" t="s">
        <v>42</v>
      </c>
      <c r="J18" s="6">
        <f t="shared" si="1"/>
        <v>759963.8</v>
      </c>
      <c r="K18" s="6">
        <v>0</v>
      </c>
      <c r="L18" s="6">
        <v>0</v>
      </c>
      <c r="M18" s="20">
        <v>0</v>
      </c>
      <c r="N18" s="7"/>
      <c r="O18" s="20">
        <f t="shared" si="2"/>
        <v>0</v>
      </c>
    </row>
    <row r="19" spans="1:15" x14ac:dyDescent="0.25">
      <c r="A19" s="2">
        <v>1028660836</v>
      </c>
      <c r="B19" s="3" t="s">
        <v>43</v>
      </c>
      <c r="C19" s="9">
        <f>1750905/30*15</f>
        <v>875452.5</v>
      </c>
      <c r="D19" s="10">
        <f>249095/30*15</f>
        <v>124547.49999999999</v>
      </c>
      <c r="E19" s="6">
        <v>0</v>
      </c>
      <c r="F19" s="6">
        <f t="shared" si="0"/>
        <v>70036.2</v>
      </c>
      <c r="G19" s="6">
        <v>0</v>
      </c>
      <c r="H19" s="6">
        <v>220000</v>
      </c>
      <c r="I19" s="7" t="s">
        <v>44</v>
      </c>
      <c r="J19" s="6">
        <f t="shared" si="1"/>
        <v>709963.8</v>
      </c>
      <c r="K19" s="6">
        <v>0</v>
      </c>
      <c r="L19" s="6">
        <v>0</v>
      </c>
      <c r="M19" s="20">
        <v>0</v>
      </c>
      <c r="N19" s="7"/>
      <c r="O19" s="20">
        <f t="shared" si="2"/>
        <v>0</v>
      </c>
    </row>
    <row r="20" spans="1:15" x14ac:dyDescent="0.25">
      <c r="A20" s="2">
        <v>1123436140</v>
      </c>
      <c r="B20" s="3" t="s">
        <v>45</v>
      </c>
      <c r="C20" s="9">
        <f>1750905/30*15</f>
        <v>875452.5</v>
      </c>
      <c r="D20" s="10">
        <f>249095/30*15</f>
        <v>124547.49999999999</v>
      </c>
      <c r="E20" s="6">
        <v>0</v>
      </c>
      <c r="F20" s="6">
        <f t="shared" si="0"/>
        <v>70036.2</v>
      </c>
      <c r="G20" s="6">
        <v>0</v>
      </c>
      <c r="H20" s="6">
        <v>0</v>
      </c>
      <c r="I20" s="7"/>
      <c r="J20" s="6">
        <f t="shared" si="1"/>
        <v>929963.8</v>
      </c>
      <c r="K20" s="6">
        <v>0</v>
      </c>
      <c r="L20" s="6">
        <v>0</v>
      </c>
      <c r="M20" s="20">
        <v>0</v>
      </c>
      <c r="N20" s="7"/>
      <c r="O20" s="20">
        <f t="shared" si="2"/>
        <v>0</v>
      </c>
    </row>
    <row r="21" spans="1:15" x14ac:dyDescent="0.25">
      <c r="A21" s="2">
        <v>1003950486</v>
      </c>
      <c r="B21" s="3" t="s">
        <v>46</v>
      </c>
      <c r="C21" s="9">
        <f>1750905/30*12</f>
        <v>700362</v>
      </c>
      <c r="D21" s="10">
        <f>249095/30*12</f>
        <v>99638</v>
      </c>
      <c r="E21" s="6">
        <v>0</v>
      </c>
      <c r="F21" s="6">
        <f t="shared" si="0"/>
        <v>56028.959999999999</v>
      </c>
      <c r="G21" s="6">
        <v>0</v>
      </c>
      <c r="H21" s="6">
        <v>20000</v>
      </c>
      <c r="I21" s="7" t="s">
        <v>47</v>
      </c>
      <c r="J21" s="6">
        <f t="shared" si="1"/>
        <v>723971.04</v>
      </c>
      <c r="K21" s="6">
        <v>0</v>
      </c>
      <c r="L21" s="6">
        <v>0</v>
      </c>
      <c r="M21" s="20">
        <v>0</v>
      </c>
      <c r="N21" s="7"/>
      <c r="O21" s="20">
        <f t="shared" si="2"/>
        <v>0</v>
      </c>
    </row>
    <row r="22" spans="1:15" x14ac:dyDescent="0.25">
      <c r="A22" s="2">
        <v>1053330769</v>
      </c>
      <c r="B22" s="3" t="s">
        <v>48</v>
      </c>
      <c r="C22" s="9">
        <f>1750905/30*3</f>
        <v>175090.5</v>
      </c>
      <c r="D22" s="10">
        <f>249095/30*3</f>
        <v>24909.5</v>
      </c>
      <c r="E22" s="6">
        <v>0</v>
      </c>
      <c r="F22" s="6">
        <f t="shared" si="0"/>
        <v>14007.24</v>
      </c>
      <c r="G22" s="6">
        <v>0</v>
      </c>
      <c r="H22" s="6">
        <v>20000</v>
      </c>
      <c r="I22" s="11" t="s">
        <v>49</v>
      </c>
      <c r="J22" s="6">
        <f t="shared" si="1"/>
        <v>165992.76</v>
      </c>
      <c r="K22" s="6">
        <v>0</v>
      </c>
      <c r="L22" s="6">
        <v>0</v>
      </c>
      <c r="M22" s="20">
        <v>0</v>
      </c>
      <c r="N22" s="7"/>
      <c r="O22" s="20">
        <f t="shared" si="2"/>
        <v>0</v>
      </c>
    </row>
    <row r="23" spans="1:15" x14ac:dyDescent="0.25">
      <c r="A23" s="2"/>
      <c r="B23" s="3"/>
      <c r="C23" s="9"/>
      <c r="D23" s="10"/>
      <c r="E23" s="6"/>
      <c r="F23" s="6"/>
      <c r="G23" s="6"/>
      <c r="H23" s="6"/>
      <c r="I23" s="11"/>
      <c r="J23" s="6"/>
      <c r="K23" s="6"/>
      <c r="L23" s="6"/>
      <c r="M23" s="8"/>
      <c r="N23" s="8"/>
      <c r="O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Alpartes</dc:creator>
  <cp:lastModifiedBy>Alpartes</cp:lastModifiedBy>
  <dcterms:created xsi:type="dcterms:W3CDTF">2026-05-28T18:34:26Z</dcterms:created>
  <dcterms:modified xsi:type="dcterms:W3CDTF">2026-05-29T18:52:29Z</dcterms:modified>
</cp:coreProperties>
</file>