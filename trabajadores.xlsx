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869AECDD-C43F-4BE9-A3A2-FECBBAA8A5BD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2" i="1" l="1"/>
  <c r="H22" i="1"/>
  <c r="F22" i="1"/>
  <c r="D22" i="1"/>
  <c r="C22" i="1"/>
  <c r="P21" i="1"/>
  <c r="H21" i="1"/>
  <c r="D21" i="1"/>
  <c r="C21" i="1"/>
  <c r="F21" i="1" s="1"/>
  <c r="P20" i="1"/>
  <c r="H20" i="1"/>
  <c r="F20" i="1"/>
  <c r="D20" i="1"/>
  <c r="C20" i="1"/>
  <c r="P19" i="1"/>
  <c r="H19" i="1"/>
  <c r="D19" i="1"/>
  <c r="C19" i="1"/>
  <c r="F19" i="1" s="1"/>
  <c r="P18" i="1"/>
  <c r="H18" i="1"/>
  <c r="F18" i="1"/>
  <c r="D18" i="1"/>
  <c r="C18" i="1"/>
  <c r="P17" i="1"/>
  <c r="H17" i="1"/>
  <c r="D17" i="1"/>
  <c r="C17" i="1"/>
  <c r="P16" i="1"/>
  <c r="H16" i="1"/>
  <c r="F16" i="1"/>
  <c r="D16" i="1"/>
  <c r="C16" i="1"/>
  <c r="J16" i="1" s="1"/>
  <c r="P15" i="1"/>
  <c r="H15" i="1"/>
  <c r="D15" i="1"/>
  <c r="C15" i="1"/>
  <c r="F15" i="1" s="1"/>
  <c r="P14" i="1"/>
  <c r="H14" i="1"/>
  <c r="F14" i="1"/>
  <c r="D14" i="1"/>
  <c r="C14" i="1"/>
  <c r="P13" i="1"/>
  <c r="J13" i="1"/>
  <c r="F13" i="1"/>
  <c r="P12" i="1"/>
  <c r="H12" i="1"/>
  <c r="D12" i="1"/>
  <c r="C12" i="1"/>
  <c r="F12" i="1" s="1"/>
  <c r="P11" i="1"/>
  <c r="H11" i="1"/>
  <c r="F11" i="1"/>
  <c r="D11" i="1"/>
  <c r="C11" i="1"/>
  <c r="P10" i="1"/>
  <c r="H10" i="1"/>
  <c r="D10" i="1"/>
  <c r="C10" i="1"/>
  <c r="F10" i="1" s="1"/>
  <c r="P9" i="1"/>
  <c r="H9" i="1"/>
  <c r="F9" i="1"/>
  <c r="D9" i="1"/>
  <c r="C9" i="1"/>
  <c r="P8" i="1"/>
  <c r="H8" i="1"/>
  <c r="D8" i="1"/>
  <c r="C8" i="1"/>
  <c r="F8" i="1" s="1"/>
  <c r="P7" i="1"/>
  <c r="H7" i="1"/>
  <c r="F7" i="1"/>
  <c r="D7" i="1"/>
  <c r="C7" i="1"/>
  <c r="P6" i="1"/>
  <c r="H6" i="1"/>
  <c r="D6" i="1"/>
  <c r="C6" i="1"/>
  <c r="F6" i="1" s="1"/>
  <c r="P5" i="1"/>
  <c r="H5" i="1"/>
  <c r="F5" i="1"/>
  <c r="D5" i="1"/>
  <c r="C5" i="1"/>
  <c r="J5" i="1" s="1"/>
  <c r="P4" i="1"/>
  <c r="H4" i="1"/>
  <c r="D4" i="1"/>
  <c r="C4" i="1"/>
  <c r="F4" i="1" s="1"/>
  <c r="P3" i="1"/>
  <c r="H3" i="1"/>
  <c r="F3" i="1"/>
  <c r="D3" i="1"/>
  <c r="C3" i="1"/>
  <c r="N2" i="1"/>
  <c r="P2" i="1" s="1"/>
  <c r="H2" i="1"/>
  <c r="D2" i="1"/>
  <c r="C2" i="1"/>
  <c r="F2" i="1" s="1"/>
  <c r="J18" i="1" l="1"/>
  <c r="J9" i="1"/>
  <c r="J20" i="1"/>
  <c r="J7" i="1"/>
  <c r="J3" i="1"/>
  <c r="J11" i="1"/>
  <c r="J14" i="1"/>
  <c r="J22" i="1"/>
  <c r="J2" i="1"/>
  <c r="J15" i="1"/>
  <c r="J19" i="1"/>
  <c r="J21" i="1"/>
  <c r="J6" i="1"/>
  <c r="J8" i="1"/>
  <c r="J10" i="1"/>
  <c r="F17" i="1"/>
  <c r="J17" i="1" s="1"/>
  <c r="J4" i="1"/>
  <c r="J12" i="1"/>
</calcChain>
</file>

<file path=xl/sharedStrings.xml><?xml version="1.0" encoding="utf-8"?>
<sst xmlns="http://schemas.openxmlformats.org/spreadsheetml/2006/main" count="63" uniqueCount="63">
  <si>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</si>
  <si>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</si>
  <si>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</si>
  <si>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</si>
  <si>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</si>
  <si>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</si>
  <si>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</si>
  <si>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</si>
  <si>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</si>
  <si>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</si>
  <si>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</si>
  <si>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</si>
  <si>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</si>
  <si>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</si>
  <si>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</si>
  <si>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</si>
  <si>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MONTAÑO DIAZ RAUL ANDRES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</si>
  <si>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</si>
  <si>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</si>
  <si>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</si>
  <si>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</si>
  <si>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</si>
  <si>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 xml:space="preserve">COLLAZOS VELANDIA JHOAN ESNEYDER </t>
  </si>
  <si>
    <t>TRIVIÑO RIOS JOSE JULIAN</t>
  </si>
  <si>
    <t>1 DIA LCNR+20,000 COMPARTIR+85,000 VALES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</si>
  <si>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</si>
  <si>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</si>
  <si>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</si>
  <si>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</si>
  <si>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</si>
  <si>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</si>
  <si>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</si>
  <si>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MONTOYA DIAZ ENOC ALEXANDER</t>
  </si>
  <si>
    <t>20,000 COMPARTIR+150,000 PRESTAMO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</si>
  <si>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</si>
  <si>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</si>
  <si>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</si>
  <si>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</si>
  <si>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</si>
  <si>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</si>
  <si>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</si>
  <si>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 xml:space="preserve">20,000 COMPARTIR + 20 COMPARTIR 1,600,000 VALES </t>
  </si>
  <si>
    <t>35,300 COOSERPARK+20,000 COMPARTIR+207,117 PRESTAMO+100,000 VALES</t>
  </si>
  <si>
    <t>14,000 (2) CARITAS+33,616 UTILIDADES+20,000 COMPARTIR+24,000 SUGERIDOS+220,384 VALES</t>
  </si>
  <si>
    <t>44,700 COOSERPARK+2 DIAS LCNR+20,000 COMPARTIR+150,000 VALES +3 DIAS LCNR +18,000 SUGERIDOS +14,000 (2) CARITAS+15,223 RESTANTE UTILIDAD+252,265 VALES</t>
  </si>
  <si>
    <t>44,926 UTILIDADES</t>
  </si>
  <si>
    <t>25,100 COOSERPARK+20,000 COMPARTIR+300,000 VALES+3 DIAS INCP+ DESPIDO 25 MAY+400,000 VALES</t>
  </si>
  <si>
    <t>35,000 (5) CARITAS+1 DIA 58,363+6,324 UTILIDADES</t>
  </si>
  <si>
    <t>56,000 (8) CARITAS + 1 DIA 58,363+20,000 COMPARTIR</t>
  </si>
  <si>
    <t>42,000 (6) CARITAS+11,849 UTILIDADE+32,000 SUGERIDOS+269,700 VALES</t>
  </si>
  <si>
    <t>44,700 COOSERPARK+1 DIA LCR+20,000 COMPARTIR+1 DIA LCR+100,000 VALES+14,000 (2) CARITAS+20,000 COMPARTIR</t>
  </si>
  <si>
    <t>35,300 COOSERPARK+VAC 11 AL 16+20,000 COMPARTIR+34,760 PLAN CELULAR+100,000 VALES+1 DIA VAC</t>
  </si>
  <si>
    <t>56,000 (8) CARITAS+8,792 UTILIDADES+20,000 COMPARTIR+17,000 SUGERIDOS+257,786 VALES</t>
  </si>
  <si>
    <t>14,000 (2) CARITAS+17,000 SUGERIDOS</t>
  </si>
  <si>
    <t>INCP +7 DIAS INCP+21,000 (3) CARITAS+14,000 SUGERIDOS</t>
  </si>
  <si>
    <t>DIAS DE VACACIONES</t>
  </si>
  <si>
    <t>20,000 COMPARTIR+378,474 PRESTAMOS+42,000 (6) CARITAS+20000 COMPARTIR</t>
  </si>
  <si>
    <t>20,000 COMPARTIR +20,000 COMPARTIR</t>
  </si>
  <si>
    <t>INCP+20,000 COMPARTIR+5 DIAS INCP+21,000 (3) CARITAS+20,000 COMPARTIR+158,300 VALES</t>
  </si>
  <si>
    <t>20,000 COMPARTIR+49,000 (7) CARITAS</t>
  </si>
  <si>
    <t>20,000 COMPARTIR+200,000 VALES+7,000 (1) CARITA+265,748 VALES</t>
  </si>
  <si>
    <t>ING 4 MAYO+20,000 COMPARTIR+20,000 COMPARTIR+20,000 VALE PERSONAL</t>
  </si>
  <si>
    <t>ING 13 MAYO +20,000 COMPARTIR+42,000 (6) CARITAS+20,000 COMPARTIR+88,000 VALES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</si>
</sst>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partes\Dropbox\NOMINA%20Y%20RRHH\PAGO%20NOMINA%20MAYO.xlsx" TargetMode="External"/><Relationship Id="rId1" Type="http://schemas.openxmlformats.org/officeDocument/2006/relationships/externalLinkPath" Target="file:///C:\Users\Alpartes\Dropbox\NOMINA%20Y%20RRHH\PAGO%20NOMINA%20MAY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SCUENTOS"/>
      <sheetName val="DOMICILIOS"/>
      <sheetName val="NOMINA DEL 1 AL 15"/>
      <sheetName val="NOMINA 16 AL 30"/>
      <sheetName val="DESPRENDIBLES"/>
      <sheetName val="NOMINA MAIA"/>
    </sheetNames>
    <sheetDataSet>
      <sheetData sheetId="0"/>
      <sheetData sheetId="1"/>
      <sheetData sheetId="2">
        <row r="4">
          <cell r="I4">
            <v>1020000</v>
          </cell>
        </row>
        <row r="5">
          <cell r="H5">
            <v>35300</v>
          </cell>
          <cell r="I5">
            <v>327117</v>
          </cell>
        </row>
        <row r="6">
          <cell r="H6">
            <v>44700</v>
          </cell>
          <cell r="I6">
            <v>170000</v>
          </cell>
        </row>
        <row r="7">
          <cell r="H7">
            <v>25100</v>
          </cell>
          <cell r="I7">
            <v>320000</v>
          </cell>
        </row>
        <row r="8">
          <cell r="I8">
            <v>230312</v>
          </cell>
        </row>
        <row r="9">
          <cell r="I9">
            <v>20000</v>
          </cell>
        </row>
        <row r="10">
          <cell r="H10">
            <v>44700</v>
          </cell>
          <cell r="I10">
            <v>20000</v>
          </cell>
        </row>
        <row r="11">
          <cell r="J11">
            <v>476606.66666666663</v>
          </cell>
        </row>
        <row r="12">
          <cell r="I12">
            <v>105000</v>
          </cell>
        </row>
        <row r="13">
          <cell r="I13"/>
        </row>
        <row r="14">
          <cell r="I14">
            <v>249095</v>
          </cell>
        </row>
        <row r="16">
          <cell r="I16">
            <v>398474</v>
          </cell>
        </row>
        <row r="17">
          <cell r="I17">
            <v>20000</v>
          </cell>
        </row>
        <row r="18">
          <cell r="I18">
            <v>20000</v>
          </cell>
        </row>
        <row r="19">
          <cell r="I19">
            <v>20000</v>
          </cell>
        </row>
        <row r="21">
          <cell r="I21">
            <v>170000</v>
          </cell>
        </row>
        <row r="22">
          <cell r="I22">
            <v>220000</v>
          </cell>
        </row>
        <row r="23">
          <cell r="I23"/>
        </row>
        <row r="24">
          <cell r="I24">
            <v>20000</v>
          </cell>
        </row>
        <row r="25">
          <cell r="I25">
            <v>20000</v>
          </cell>
        </row>
      </sheetData>
      <sheetData sheetId="3">
        <row r="4">
          <cell r="I4">
            <v>620000</v>
          </cell>
        </row>
        <row r="5">
          <cell r="I5"/>
        </row>
        <row r="6">
          <cell r="I6">
            <v>299488</v>
          </cell>
        </row>
        <row r="7">
          <cell r="I7">
            <v>400000</v>
          </cell>
        </row>
        <row r="8">
          <cell r="I8"/>
        </row>
        <row r="9">
          <cell r="I9"/>
        </row>
        <row r="10">
          <cell r="I10">
            <v>134000</v>
          </cell>
        </row>
        <row r="11">
          <cell r="I11"/>
        </row>
        <row r="12">
          <cell r="I12"/>
        </row>
        <row r="13">
          <cell r="I13">
            <v>35000</v>
          </cell>
        </row>
        <row r="14">
          <cell r="I14"/>
        </row>
        <row r="16">
          <cell r="I16">
            <v>62000</v>
          </cell>
        </row>
        <row r="17">
          <cell r="I17">
            <v>20000</v>
          </cell>
        </row>
        <row r="18">
          <cell r="I18">
            <v>199300</v>
          </cell>
        </row>
        <row r="19">
          <cell r="I19">
            <v>49000</v>
          </cell>
        </row>
        <row r="21">
          <cell r="I21"/>
        </row>
        <row r="22">
          <cell r="I22">
            <v>272748</v>
          </cell>
        </row>
        <row r="23">
          <cell r="I23"/>
        </row>
        <row r="24">
          <cell r="I24">
            <v>40000</v>
          </cell>
        </row>
        <row r="25">
          <cell r="I25">
            <v>150000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3"/>
  <sheetViews>
    <sheetView tabSelected="1" workbookViewId="0">
      <selection activeCell="E9" sqref="E9"/>
    </sheetView>
  </sheetViews>
  <sheetFormatPr baseColWidth="10" defaultRowHeight="15" x14ac:dyDescent="0.25"/>
  <cols>
    <col min="1" max="1" width="14.140625" style="17" customWidth="1"/>
    <col min="2" max="2" width="38.140625" style="18" customWidth="1"/>
    <col min="3" max="3" width="11.85546875" style="19" bestFit="1" customWidth="1"/>
    <col min="4" max="4" width="16.28515625" style="19" bestFit="1" customWidth="1"/>
    <col min="5" max="5" width="12.85546875" style="19" bestFit="1" customWidth="1"/>
    <col min="6" max="6" width="16.140625" style="19" bestFit="1" customWidth="1"/>
    <col min="7" max="7" width="12.7109375" style="19" bestFit="1" customWidth="1"/>
    <col min="8" max="8" width="12.85546875" style="19" bestFit="1" customWidth="1"/>
    <col min="9" max="9" width="55.7109375" style="20" customWidth="1"/>
    <col min="10" max="10" width="13.85546875" style="19" bestFit="1" customWidth="1"/>
    <col min="11" max="11" width="19.85546875" style="19" bestFit="1" customWidth="1"/>
    <col min="12" max="12" width="20.7109375" style="19" bestFit="1" customWidth="1"/>
    <col min="13" max="13" width="15.42578125" style="16" bestFit="1" customWidth="1"/>
    <col min="14" max="14" width="13.85546875" style="16" bestFit="1" customWidth="1"/>
    <col min="15" max="15" width="47.42578125" style="16" customWidth="1"/>
    <col min="16" max="16" width="15" style="16" customWidth="1"/>
    <col min="17" max="16384" width="11.42578125" style="16"/>
  </cols>
  <sheetData>
    <row r="1" spans="1:16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40</v>
      </c>
      <c r="L1" s="9" t="s">
        <v>10</v>
      </c>
      <c r="M1" s="9" t="s">
        <v>11</v>
      </c>
      <c r="N1" s="10" t="s">
        <v>39</v>
      </c>
      <c r="O1" s="10" t="s">
        <v>38</v>
      </c>
      <c r="P1" s="10" t="s">
        <v>12</v>
      </c>
    </row>
    <row r="2" spans="1:16" x14ac:dyDescent="0.25">
      <c r="A2" s="11">
        <v>52114146</v>
      </c>
      <c r="B2" s="12" t="s">
        <v>13</v>
      </c>
      <c r="C2" s="1">
        <f>8000000/30*30</f>
        <v>8000000.0000000009</v>
      </c>
      <c r="D2" s="2">
        <f>200000/30*0</f>
        <v>0</v>
      </c>
      <c r="E2" s="13">
        <v>0</v>
      </c>
      <c r="F2" s="13">
        <f>(C2*4%)*2</f>
        <v>640000.00000000012</v>
      </c>
      <c r="G2" s="13">
        <v>0</v>
      </c>
      <c r="H2" s="13">
        <f>+'[1]NOMINA DEL 1 AL 15'!$I$4+'[1]NOMINA 16 AL 30'!$I$4</f>
        <v>1640000</v>
      </c>
      <c r="I2" s="3" t="s">
        <v>41</v>
      </c>
      <c r="J2" s="13">
        <f>+C2+D2+E2-F2+G2-H2</f>
        <v>5720000.0000000009</v>
      </c>
      <c r="K2" s="13">
        <v>0</v>
      </c>
      <c r="L2" s="13">
        <v>0</v>
      </c>
      <c r="M2" s="13">
        <v>0</v>
      </c>
      <c r="N2" s="14">
        <f>L2-M2</f>
        <v>0</v>
      </c>
      <c r="O2" s="3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f>1750905/30*30</f>
        <v>1750905</v>
      </c>
      <c r="D3" s="5">
        <f>249095/30*30</f>
        <v>249094.99999999997</v>
      </c>
      <c r="E3" s="13">
        <v>0</v>
      </c>
      <c r="F3" s="13">
        <f t="shared" ref="F3:F22" si="0">(C3*4%)*2</f>
        <v>140072.4</v>
      </c>
      <c r="G3" s="13">
        <v>700000</v>
      </c>
      <c r="H3" s="13">
        <f>+'[1]NOMINA 16 AL 30'!$I$5+'[1]NOMINA DEL 1 AL 15'!$I$5+'[1]NOMINA DEL 1 AL 15'!$H$5</f>
        <v>362417</v>
      </c>
      <c r="I3" s="3" t="s">
        <v>42</v>
      </c>
      <c r="J3" s="13">
        <f t="shared" ref="J3:J21" si="1">+C3+D3+E3-F3+G3-H3</f>
        <v>2197510.6</v>
      </c>
      <c r="K3" s="13">
        <v>1505035</v>
      </c>
      <c r="L3" s="13">
        <v>805000</v>
      </c>
      <c r="M3" s="13">
        <v>14000</v>
      </c>
      <c r="N3" s="14">
        <v>298000</v>
      </c>
      <c r="O3" s="3" t="s">
        <v>43</v>
      </c>
      <c r="P3" s="14">
        <f>L3-M3-N3</f>
        <v>493000</v>
      </c>
    </row>
    <row r="4" spans="1:16" ht="40.5" x14ac:dyDescent="0.25">
      <c r="A4" s="11">
        <v>1001200622</v>
      </c>
      <c r="B4" s="12" t="s">
        <v>15</v>
      </c>
      <c r="C4" s="4">
        <f>1750905/30*25</f>
        <v>1459087.5</v>
      </c>
      <c r="D4" s="5">
        <f>249095/30*25</f>
        <v>207579.16666666666</v>
      </c>
      <c r="E4" s="13">
        <v>0</v>
      </c>
      <c r="F4" s="13">
        <f t="shared" si="0"/>
        <v>116727</v>
      </c>
      <c r="G4" s="13">
        <v>600000</v>
      </c>
      <c r="H4" s="13">
        <f>+'[1]NOMINA DEL 1 AL 15'!$I$6+'[1]NOMINA 16 AL 30'!$I$6+'[1]NOMINA DEL 1 AL 15'!$H$6</f>
        <v>514188</v>
      </c>
      <c r="I4" s="3" t="s">
        <v>44</v>
      </c>
      <c r="J4" s="13">
        <f t="shared" si="1"/>
        <v>1635751.666666667</v>
      </c>
      <c r="K4" s="13">
        <v>644926</v>
      </c>
      <c r="L4" s="13">
        <v>44926</v>
      </c>
      <c r="M4" s="13">
        <v>0</v>
      </c>
      <c r="N4" s="14">
        <v>44926</v>
      </c>
      <c r="O4" s="3" t="s">
        <v>45</v>
      </c>
      <c r="P4" s="14">
        <f t="shared" ref="P4:P22" si="2">L4-M4-N4</f>
        <v>0</v>
      </c>
    </row>
    <row r="5" spans="1:16" ht="27" x14ac:dyDescent="0.25">
      <c r="A5" s="11">
        <v>1000362431</v>
      </c>
      <c r="B5" s="12" t="s">
        <v>16</v>
      </c>
      <c r="C5" s="4">
        <f>1750905/30*25</f>
        <v>1459087.5</v>
      </c>
      <c r="D5" s="5">
        <f>249095/30*22</f>
        <v>182669.66666666666</v>
      </c>
      <c r="E5" s="13">
        <v>0</v>
      </c>
      <c r="F5" s="13">
        <f t="shared" si="0"/>
        <v>116727</v>
      </c>
      <c r="G5" s="13">
        <v>400000</v>
      </c>
      <c r="H5" s="13">
        <f>+'[1]NOMINA 16 AL 30'!$I$7+'[1]NOMINA DEL 1 AL 15'!$I$7+'[1]NOMINA DEL 1 AL 15'!$H$7</f>
        <v>745100</v>
      </c>
      <c r="I5" s="3" t="s">
        <v>46</v>
      </c>
      <c r="J5" s="13">
        <f t="shared" si="1"/>
        <v>1179930.1666666667</v>
      </c>
      <c r="K5" s="13">
        <v>531685</v>
      </c>
      <c r="L5" s="13">
        <v>131685</v>
      </c>
      <c r="M5" s="13">
        <v>93363</v>
      </c>
      <c r="N5" s="14">
        <v>6324</v>
      </c>
      <c r="O5" s="3" t="s">
        <v>47</v>
      </c>
      <c r="P5" s="14">
        <f t="shared" si="2"/>
        <v>31998</v>
      </c>
    </row>
    <row r="6" spans="1:16" x14ac:dyDescent="0.25">
      <c r="A6" s="11">
        <v>1001045472</v>
      </c>
      <c r="B6" s="12" t="s">
        <v>17</v>
      </c>
      <c r="C6" s="4">
        <f>1750905/30*30</f>
        <v>1750905</v>
      </c>
      <c r="D6" s="5">
        <f>249095/30*30</f>
        <v>249094.99999999997</v>
      </c>
      <c r="E6" s="13">
        <v>0</v>
      </c>
      <c r="F6" s="13">
        <f t="shared" si="0"/>
        <v>140072.4</v>
      </c>
      <c r="G6" s="13">
        <v>700000</v>
      </c>
      <c r="H6" s="13">
        <f>+'[1]NOMINA DEL 1 AL 15'!$I$8+'[1]NOMINA 16 AL 30'!$I$8</f>
        <v>230312</v>
      </c>
      <c r="I6" s="3" t="s">
        <v>18</v>
      </c>
      <c r="J6" s="13">
        <f t="shared" si="1"/>
        <v>2329615.6</v>
      </c>
      <c r="K6" s="13">
        <v>1230108</v>
      </c>
      <c r="L6" s="13">
        <v>530108</v>
      </c>
      <c r="M6" s="13">
        <v>114363</v>
      </c>
      <c r="N6" s="14">
        <v>20000</v>
      </c>
      <c r="O6" s="3" t="s">
        <v>48</v>
      </c>
      <c r="P6" s="14">
        <f t="shared" si="2"/>
        <v>395745</v>
      </c>
    </row>
    <row r="7" spans="1:16" ht="27" x14ac:dyDescent="0.25">
      <c r="A7" s="11">
        <v>80875830</v>
      </c>
      <c r="B7" s="12" t="s">
        <v>19</v>
      </c>
      <c r="C7" s="4">
        <f>1750905/30*28</f>
        <v>1634178</v>
      </c>
      <c r="D7" s="5">
        <f>249095/30*28</f>
        <v>232488.66666666666</v>
      </c>
      <c r="E7" s="13">
        <v>0</v>
      </c>
      <c r="F7" s="13">
        <f t="shared" si="0"/>
        <v>130734.24</v>
      </c>
      <c r="G7" s="13">
        <v>700000</v>
      </c>
      <c r="H7" s="13">
        <f>+'[1]NOMINA DEL 1 AL 15'!$I$9+'[1]NOMINA 16 AL 30'!$I$9</f>
        <v>20000</v>
      </c>
      <c r="I7" s="3" t="s">
        <v>20</v>
      </c>
      <c r="J7" s="13">
        <f t="shared" si="1"/>
        <v>2415932.4266666668</v>
      </c>
      <c r="K7" s="13">
        <v>1207249</v>
      </c>
      <c r="L7" s="13">
        <v>507249</v>
      </c>
      <c r="M7" s="13">
        <v>42000</v>
      </c>
      <c r="N7" s="14">
        <v>313549</v>
      </c>
      <c r="O7" s="3" t="s">
        <v>49</v>
      </c>
      <c r="P7" s="14">
        <f t="shared" si="2"/>
        <v>151700</v>
      </c>
    </row>
    <row r="8" spans="1:16" ht="27" x14ac:dyDescent="0.25">
      <c r="A8" s="11">
        <v>1006116706</v>
      </c>
      <c r="B8" s="12" t="s">
        <v>21</v>
      </c>
      <c r="C8" s="4">
        <f>1750905/30*30</f>
        <v>1750905</v>
      </c>
      <c r="D8" s="5">
        <f>249095/30*28</f>
        <v>232488.66666666666</v>
      </c>
      <c r="E8" s="13">
        <v>0</v>
      </c>
      <c r="F8" s="13">
        <f t="shared" si="0"/>
        <v>140072.4</v>
      </c>
      <c r="G8" s="13">
        <v>100000</v>
      </c>
      <c r="H8" s="13">
        <f>+'[1]NOMINA DEL 1 AL 15'!$I$10+'[1]NOMINA DEL 1 AL 15'!$H$10+'[1]NOMINA 16 AL 30'!$I$10</f>
        <v>198700</v>
      </c>
      <c r="I8" s="3" t="s">
        <v>50</v>
      </c>
      <c r="J8" s="13">
        <f t="shared" si="1"/>
        <v>1744621.2666666668</v>
      </c>
      <c r="K8" s="13"/>
      <c r="L8" s="13">
        <v>0</v>
      </c>
      <c r="M8" s="13">
        <v>0</v>
      </c>
      <c r="N8" s="14">
        <v>0</v>
      </c>
      <c r="O8" s="3"/>
      <c r="P8" s="14">
        <f t="shared" si="2"/>
        <v>0</v>
      </c>
    </row>
    <row r="9" spans="1:16" ht="27" x14ac:dyDescent="0.25">
      <c r="A9" s="11">
        <v>1193092448</v>
      </c>
      <c r="B9" s="12" t="s">
        <v>22</v>
      </c>
      <c r="C9" s="4">
        <f>1750905/30*24</f>
        <v>1400724</v>
      </c>
      <c r="D9" s="5">
        <f>249095/30*24</f>
        <v>199276</v>
      </c>
      <c r="E9" s="13">
        <v>0</v>
      </c>
      <c r="F9" s="13">
        <f t="shared" si="0"/>
        <v>112057.92</v>
      </c>
      <c r="G9" s="13">
        <v>700000</v>
      </c>
      <c r="H9" s="13">
        <f>+'[1]NOMINA 16 AL 30'!$I$11+'[1]NOMINA DEL 1 AL 15'!$J$11</f>
        <v>476606.66666666663</v>
      </c>
      <c r="I9" s="3" t="s">
        <v>51</v>
      </c>
      <c r="J9" s="13">
        <f t="shared" si="1"/>
        <v>1711335.4133333336</v>
      </c>
      <c r="K9" s="13">
        <v>1227182</v>
      </c>
      <c r="L9" s="13">
        <v>527182</v>
      </c>
      <c r="M9" s="13">
        <v>56000</v>
      </c>
      <c r="N9" s="14">
        <v>303668</v>
      </c>
      <c r="O9" s="3" t="s">
        <v>52</v>
      </c>
      <c r="P9" s="14">
        <f>L9-M9-N9</f>
        <v>167514</v>
      </c>
    </row>
    <row r="10" spans="1:16" x14ac:dyDescent="0.25">
      <c r="A10" s="11">
        <v>79910037</v>
      </c>
      <c r="B10" s="12" t="s">
        <v>23</v>
      </c>
      <c r="C10" s="4">
        <f>1750905/30*30</f>
        <v>1750905</v>
      </c>
      <c r="D10" s="5">
        <f>249095/30*30</f>
        <v>249094.99999999997</v>
      </c>
      <c r="E10" s="13">
        <v>0</v>
      </c>
      <c r="F10" s="13">
        <f t="shared" si="0"/>
        <v>140072.4</v>
      </c>
      <c r="G10" s="13">
        <v>300000</v>
      </c>
      <c r="H10" s="13">
        <f>+'[1]NOMINA 16 AL 30'!$I$12+'[1]NOMINA DEL 1 AL 15'!$I$12</f>
        <v>105000</v>
      </c>
      <c r="I10" s="3" t="s">
        <v>24</v>
      </c>
      <c r="J10" s="13">
        <f t="shared" si="1"/>
        <v>2054927.6</v>
      </c>
      <c r="K10" s="13">
        <v>474632</v>
      </c>
      <c r="L10" s="13">
        <v>174632</v>
      </c>
      <c r="M10" s="13">
        <v>14000</v>
      </c>
      <c r="N10" s="14">
        <v>17000</v>
      </c>
      <c r="O10" s="3" t="s">
        <v>53</v>
      </c>
      <c r="P10" s="14">
        <f t="shared" si="2"/>
        <v>143632</v>
      </c>
    </row>
    <row r="11" spans="1:16" x14ac:dyDescent="0.25">
      <c r="A11" s="11">
        <v>52767162</v>
      </c>
      <c r="B11" s="12" t="s">
        <v>25</v>
      </c>
      <c r="C11" s="4">
        <f t="shared" ref="C11" si="3">1750905/30*15</f>
        <v>875452.5</v>
      </c>
      <c r="D11" s="5">
        <f>249095/30*10</f>
        <v>83031.666666666657</v>
      </c>
      <c r="E11" s="13">
        <v>0</v>
      </c>
      <c r="F11" s="13">
        <f t="shared" si="0"/>
        <v>70036.2</v>
      </c>
      <c r="G11" s="13">
        <v>0</v>
      </c>
      <c r="H11" s="13">
        <f>+'[1]NOMINA 16 AL 30'!$I$13+'[1]NOMINA DEL 1 AL 15'!$I$13</f>
        <v>35000</v>
      </c>
      <c r="I11" s="3" t="s">
        <v>54</v>
      </c>
      <c r="J11" s="13">
        <f t="shared" si="1"/>
        <v>853447.96666666667</v>
      </c>
      <c r="K11" s="13">
        <v>0</v>
      </c>
      <c r="L11" s="13">
        <v>0</v>
      </c>
      <c r="M11" s="13">
        <v>0</v>
      </c>
      <c r="N11" s="14">
        <v>0</v>
      </c>
      <c r="O11" s="3"/>
      <c r="P11" s="14">
        <f t="shared" si="2"/>
        <v>0</v>
      </c>
    </row>
    <row r="12" spans="1:16" x14ac:dyDescent="0.25">
      <c r="A12" s="11">
        <v>1000795016</v>
      </c>
      <c r="B12" s="12" t="s">
        <v>26</v>
      </c>
      <c r="C12" s="4">
        <f>+(2000000/30)*25</f>
        <v>1666666.6666666667</v>
      </c>
      <c r="D12" s="5">
        <f>249095/30*25</f>
        <v>207579.16666666666</v>
      </c>
      <c r="E12" s="13">
        <v>0</v>
      </c>
      <c r="F12" s="13">
        <f t="shared" si="0"/>
        <v>133333.33333333334</v>
      </c>
      <c r="G12" s="13">
        <v>90373</v>
      </c>
      <c r="H12" s="13">
        <f>+'[1]NOMINA 16 AL 30'!$I$14+'[1]NOMINA DEL 1 AL 15'!$I$14</f>
        <v>249095</v>
      </c>
      <c r="I12" s="3"/>
      <c r="J12" s="13">
        <f t="shared" si="1"/>
        <v>1582190.5000000002</v>
      </c>
      <c r="K12" s="13">
        <v>0</v>
      </c>
      <c r="L12" s="13">
        <v>259000</v>
      </c>
      <c r="M12" s="13">
        <v>0</v>
      </c>
      <c r="N12" s="14">
        <v>0</v>
      </c>
      <c r="O12" s="3" t="s">
        <v>55</v>
      </c>
      <c r="P12" s="14">
        <f t="shared" si="2"/>
        <v>259000</v>
      </c>
    </row>
    <row r="13" spans="1:16" x14ac:dyDescent="0.25">
      <c r="A13" s="11">
        <v>79593400</v>
      </c>
      <c r="B13" s="12" t="s">
        <v>27</v>
      </c>
      <c r="C13" s="4">
        <v>7150000</v>
      </c>
      <c r="D13" s="5">
        <v>0</v>
      </c>
      <c r="E13" s="13">
        <v>0</v>
      </c>
      <c r="F13" s="13">
        <f t="shared" si="0"/>
        <v>572000</v>
      </c>
      <c r="G13" s="13">
        <v>2000000</v>
      </c>
      <c r="H13" s="13">
        <v>0</v>
      </c>
      <c r="I13" s="3"/>
      <c r="J13" s="13">
        <f t="shared" si="1"/>
        <v>8578000</v>
      </c>
      <c r="K13" s="13">
        <v>0</v>
      </c>
      <c r="L13" s="13">
        <v>572000</v>
      </c>
      <c r="M13" s="13">
        <v>0</v>
      </c>
      <c r="N13" s="14">
        <v>0</v>
      </c>
      <c r="O13" s="3"/>
      <c r="P13" s="14">
        <f t="shared" si="2"/>
        <v>572000</v>
      </c>
    </row>
    <row r="14" spans="1:16" ht="27" x14ac:dyDescent="0.25">
      <c r="A14" s="11">
        <v>1023029896</v>
      </c>
      <c r="B14" s="12" t="s">
        <v>28</v>
      </c>
      <c r="C14" s="4">
        <f>1750905/30*30</f>
        <v>1750905</v>
      </c>
      <c r="D14" s="5">
        <f>249095/30*30</f>
        <v>249094.99999999997</v>
      </c>
      <c r="E14" s="13">
        <v>0</v>
      </c>
      <c r="F14" s="13">
        <f t="shared" si="0"/>
        <v>140072.4</v>
      </c>
      <c r="G14" s="13">
        <v>100000</v>
      </c>
      <c r="H14" s="13">
        <f>+'[1]NOMINA DEL 1 AL 15'!$I$16+'[1]NOMINA 16 AL 30'!$I$16</f>
        <v>460474</v>
      </c>
      <c r="I14" s="3" t="s">
        <v>56</v>
      </c>
      <c r="J14" s="13">
        <f t="shared" si="1"/>
        <v>1499453.6</v>
      </c>
      <c r="K14" s="13">
        <v>0</v>
      </c>
      <c r="L14" s="13">
        <v>0</v>
      </c>
      <c r="M14" s="13">
        <v>0</v>
      </c>
      <c r="N14" s="14">
        <v>0</v>
      </c>
      <c r="O14" s="3"/>
      <c r="P14" s="14">
        <f t="shared" si="2"/>
        <v>0</v>
      </c>
    </row>
    <row r="15" spans="1:16" x14ac:dyDescent="0.25">
      <c r="A15" s="11">
        <v>1015473856</v>
      </c>
      <c r="B15" s="12" t="s">
        <v>29</v>
      </c>
      <c r="C15" s="4">
        <f>+((2200000/30)*30)</f>
        <v>2200000</v>
      </c>
      <c r="D15" s="5">
        <f>249095/30*30</f>
        <v>249094.99999999997</v>
      </c>
      <c r="E15" s="13">
        <v>0</v>
      </c>
      <c r="F15" s="13">
        <f t="shared" si="0"/>
        <v>176000</v>
      </c>
      <c r="G15" s="13">
        <v>600000</v>
      </c>
      <c r="H15" s="13">
        <f>+'[1]NOMINA 16 AL 30'!$I$17+'[1]NOMINA DEL 1 AL 15'!$I$17</f>
        <v>40000</v>
      </c>
      <c r="I15" s="3" t="s">
        <v>57</v>
      </c>
      <c r="J15" s="13">
        <f t="shared" si="1"/>
        <v>2833095</v>
      </c>
      <c r="K15" s="13">
        <v>0</v>
      </c>
      <c r="L15" s="13">
        <v>0</v>
      </c>
      <c r="M15" s="13">
        <v>0</v>
      </c>
      <c r="N15" s="14">
        <v>0</v>
      </c>
      <c r="O15" s="3"/>
      <c r="P15" s="14">
        <f t="shared" si="2"/>
        <v>0</v>
      </c>
    </row>
    <row r="16" spans="1:16" ht="27" x14ac:dyDescent="0.25">
      <c r="A16" s="11">
        <v>1026306646</v>
      </c>
      <c r="B16" s="12" t="s">
        <v>30</v>
      </c>
      <c r="C16" s="4">
        <f>1750905/30*30</f>
        <v>1750905</v>
      </c>
      <c r="D16" s="5">
        <f>249095/30*10</f>
        <v>83031.666666666657</v>
      </c>
      <c r="E16" s="13">
        <v>6036</v>
      </c>
      <c r="F16" s="13">
        <f t="shared" si="0"/>
        <v>140072.4</v>
      </c>
      <c r="G16" s="13">
        <v>0</v>
      </c>
      <c r="H16" s="13">
        <f>+'[1]NOMINA 16 AL 30'!$I$18+'[1]NOMINA DEL 1 AL 15'!$I$18</f>
        <v>219300</v>
      </c>
      <c r="I16" s="3" t="s">
        <v>58</v>
      </c>
      <c r="J16" s="13">
        <f t="shared" si="1"/>
        <v>1480600.2666666668</v>
      </c>
      <c r="K16" s="13">
        <v>0</v>
      </c>
      <c r="L16" s="13">
        <v>0</v>
      </c>
      <c r="M16" s="13">
        <v>0</v>
      </c>
      <c r="N16" s="14">
        <v>0</v>
      </c>
      <c r="O16" s="3"/>
      <c r="P16" s="14">
        <f t="shared" si="2"/>
        <v>0</v>
      </c>
    </row>
    <row r="17" spans="1:16" x14ac:dyDescent="0.25">
      <c r="A17" s="11">
        <v>1003533086</v>
      </c>
      <c r="B17" s="12" t="s">
        <v>31</v>
      </c>
      <c r="C17" s="4">
        <f>1750905/30*30</f>
        <v>1750905</v>
      </c>
      <c r="D17" s="5">
        <f>249095/30*30</f>
        <v>249094.99999999997</v>
      </c>
      <c r="E17" s="13">
        <v>320477</v>
      </c>
      <c r="F17" s="13">
        <f t="shared" si="0"/>
        <v>140072.4</v>
      </c>
      <c r="G17" s="13">
        <v>0</v>
      </c>
      <c r="H17" s="13">
        <f>+'[1]NOMINA 16 AL 30'!$I$19+'[1]NOMINA DEL 1 AL 15'!$I$19</f>
        <v>69000</v>
      </c>
      <c r="I17" s="3" t="s">
        <v>59</v>
      </c>
      <c r="J17" s="13">
        <f t="shared" si="1"/>
        <v>2111404.6</v>
      </c>
      <c r="K17" s="13">
        <v>0</v>
      </c>
      <c r="L17" s="13">
        <v>0</v>
      </c>
      <c r="M17" s="13">
        <v>0</v>
      </c>
      <c r="N17" s="14">
        <v>0</v>
      </c>
      <c r="O17" s="3"/>
      <c r="P17" s="14">
        <f t="shared" si="2"/>
        <v>0</v>
      </c>
    </row>
    <row r="18" spans="1:16" x14ac:dyDescent="0.25">
      <c r="A18" s="11">
        <v>1000808758</v>
      </c>
      <c r="B18" s="12" t="s">
        <v>32</v>
      </c>
      <c r="C18" s="4">
        <f>1750905/30*30</f>
        <v>1750905</v>
      </c>
      <c r="D18" s="5">
        <f>249095/30*30</f>
        <v>249094.99999999997</v>
      </c>
      <c r="E18" s="13">
        <v>0</v>
      </c>
      <c r="F18" s="13">
        <f t="shared" si="0"/>
        <v>140072.4</v>
      </c>
      <c r="G18" s="13">
        <v>0</v>
      </c>
      <c r="H18" s="13">
        <f>+'[1]NOMINA 16 AL 30'!$I$21+'[1]NOMINA DEL 1 AL 15'!$I$21</f>
        <v>170000</v>
      </c>
      <c r="I18" s="3" t="s">
        <v>33</v>
      </c>
      <c r="J18" s="13">
        <f t="shared" si="1"/>
        <v>1689927.6</v>
      </c>
      <c r="K18" s="13">
        <v>0</v>
      </c>
      <c r="L18" s="13">
        <v>0</v>
      </c>
      <c r="M18" s="13">
        <v>0</v>
      </c>
      <c r="N18" s="14">
        <v>0</v>
      </c>
      <c r="O18" s="3"/>
      <c r="P18" s="14">
        <f t="shared" si="2"/>
        <v>0</v>
      </c>
    </row>
    <row r="19" spans="1:16" ht="30" x14ac:dyDescent="0.25">
      <c r="A19" s="11">
        <v>1028660836</v>
      </c>
      <c r="B19" s="12" t="s">
        <v>34</v>
      </c>
      <c r="C19" s="4">
        <f>1750905/30*30</f>
        <v>1750905</v>
      </c>
      <c r="D19" s="5">
        <f>249095/30*30</f>
        <v>249094.99999999997</v>
      </c>
      <c r="E19" s="13">
        <v>380143</v>
      </c>
      <c r="F19" s="13">
        <f t="shared" si="0"/>
        <v>140072.4</v>
      </c>
      <c r="G19" s="13">
        <v>0</v>
      </c>
      <c r="H19" s="13">
        <f>+'[1]NOMINA 16 AL 30'!$I$22+'[1]NOMINA DEL 1 AL 15'!$I$22</f>
        <v>492748</v>
      </c>
      <c r="I19" s="3" t="s">
        <v>60</v>
      </c>
      <c r="J19" s="13">
        <f t="shared" si="1"/>
        <v>1747322.6</v>
      </c>
      <c r="K19" s="13">
        <v>0</v>
      </c>
      <c r="L19" s="13">
        <v>0</v>
      </c>
      <c r="M19" s="13">
        <v>0</v>
      </c>
      <c r="N19" s="14">
        <v>0</v>
      </c>
      <c r="O19" s="3"/>
      <c r="P19" s="14">
        <f t="shared" si="2"/>
        <v>0</v>
      </c>
    </row>
    <row r="20" spans="1:16" x14ac:dyDescent="0.25">
      <c r="A20" s="11">
        <v>1123436140</v>
      </c>
      <c r="B20" s="12" t="s">
        <v>35</v>
      </c>
      <c r="C20" s="4">
        <f>1750905/30*30</f>
        <v>1750905</v>
      </c>
      <c r="D20" s="5">
        <f>249095/30*30</f>
        <v>249094.99999999997</v>
      </c>
      <c r="E20" s="13">
        <v>0</v>
      </c>
      <c r="F20" s="13">
        <f t="shared" si="0"/>
        <v>140072.4</v>
      </c>
      <c r="G20" s="13">
        <v>0</v>
      </c>
      <c r="H20" s="13">
        <f>+'[1]NOMINA 16 AL 30'!$I$23+'[1]NOMINA DEL 1 AL 15'!$I$23</f>
        <v>0</v>
      </c>
      <c r="I20" s="3"/>
      <c r="J20" s="13">
        <f t="shared" si="1"/>
        <v>1859927.6</v>
      </c>
      <c r="K20" s="13">
        <v>0</v>
      </c>
      <c r="L20" s="13">
        <v>0</v>
      </c>
      <c r="M20" s="13">
        <v>0</v>
      </c>
      <c r="N20" s="14">
        <v>0</v>
      </c>
      <c r="O20" s="3"/>
      <c r="P20" s="14">
        <f t="shared" si="2"/>
        <v>0</v>
      </c>
    </row>
    <row r="21" spans="1:16" ht="27" x14ac:dyDescent="0.25">
      <c r="A21" s="11">
        <v>1003950486</v>
      </c>
      <c r="B21" s="12" t="s">
        <v>36</v>
      </c>
      <c r="C21" s="4">
        <f>1750905/30*24</f>
        <v>1400724</v>
      </c>
      <c r="D21" s="5">
        <f>249095/30*27</f>
        <v>224185.49999999997</v>
      </c>
      <c r="E21" s="13">
        <v>539879</v>
      </c>
      <c r="F21" s="13">
        <f t="shared" si="0"/>
        <v>112057.92</v>
      </c>
      <c r="G21" s="13">
        <v>0</v>
      </c>
      <c r="H21" s="13">
        <f>+'[1]NOMINA 16 AL 30'!$I$24+'[1]NOMINA DEL 1 AL 15'!$I$24</f>
        <v>60000</v>
      </c>
      <c r="I21" s="3" t="s">
        <v>61</v>
      </c>
      <c r="J21" s="13">
        <f t="shared" si="1"/>
        <v>1992730.58</v>
      </c>
      <c r="K21" s="13">
        <v>0</v>
      </c>
      <c r="L21" s="13">
        <v>0</v>
      </c>
      <c r="M21" s="13">
        <v>0</v>
      </c>
      <c r="N21" s="14">
        <v>0</v>
      </c>
      <c r="O21" s="3"/>
      <c r="P21" s="14">
        <f t="shared" si="2"/>
        <v>0</v>
      </c>
    </row>
    <row r="22" spans="1:16" ht="27" x14ac:dyDescent="0.25">
      <c r="A22" s="11">
        <v>1053330769</v>
      </c>
      <c r="B22" s="12" t="s">
        <v>37</v>
      </c>
      <c r="C22" s="4">
        <f>1750905/30*18</f>
        <v>1050543</v>
      </c>
      <c r="D22" s="5">
        <f>249095/30*18</f>
        <v>149457</v>
      </c>
      <c r="E22" s="13">
        <v>255438</v>
      </c>
      <c r="F22" s="13">
        <f t="shared" si="0"/>
        <v>84043.44</v>
      </c>
      <c r="G22" s="13">
        <v>0</v>
      </c>
      <c r="H22" s="13">
        <f>'[1]NOMINA 16 AL 30'!$I$25+'[1]NOMINA DEL 1 AL 15'!$I$25</f>
        <v>170000</v>
      </c>
      <c r="I22" s="6" t="s">
        <v>62</v>
      </c>
      <c r="J22" s="13">
        <f>+C22+D22+E22-F22+G22-H22</f>
        <v>1201394.56</v>
      </c>
      <c r="K22" s="13">
        <v>0</v>
      </c>
      <c r="L22" s="13">
        <v>0</v>
      </c>
      <c r="M22" s="13">
        <v>0</v>
      </c>
      <c r="N22" s="14">
        <v>0</v>
      </c>
      <c r="O22" s="3"/>
      <c r="P22" s="14">
        <f t="shared" si="2"/>
        <v>0</v>
      </c>
    </row>
    <row r="23" spans="1:16" x14ac:dyDescent="0.25">
      <c r="A23" s="11"/>
      <c r="B23" s="12"/>
      <c r="C23" s="4"/>
      <c r="D23" s="5"/>
      <c r="E23" s="13"/>
      <c r="F23" s="13"/>
      <c r="G23" s="13"/>
      <c r="H23" s="13"/>
      <c r="I23" s="6"/>
      <c r="J23" s="13"/>
      <c r="K23" s="13"/>
      <c r="L23" s="13"/>
      <c r="M23" s="13"/>
      <c r="N23" s="15"/>
      <c r="O23" s="15"/>
      <c r="P2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2026-06-05T19:53:52Z</dcterms:modified>
</cp:coreProperties>
</file>